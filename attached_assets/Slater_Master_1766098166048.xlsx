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osephSong\Desktop\Slater\"/>
    </mc:Choice>
  </mc:AlternateContent>
  <xr:revisionPtr revIDLastSave="0" documentId="13_ncr:1_{A28852E9-6E60-43E6-83D1-B9945DF900B5}" xr6:coauthVersionLast="47" xr6:coauthVersionMax="47" xr10:uidLastSave="{00000000-0000-0000-0000-000000000000}"/>
  <bookViews>
    <workbookView xWindow="28680" yWindow="-120" windowWidth="29040" windowHeight="15720" xr2:uid="{321B0105-2379-412B-BADF-A4F606986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" i="1" l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D34" i="1" s="1"/>
  <c r="J34" i="1" s="1"/>
  <c r="J36" i="1"/>
  <c r="J35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D7" i="1"/>
  <c r="J7" i="1" s="1"/>
  <c r="J6" i="1"/>
  <c r="J5" i="1"/>
  <c r="J4" i="1"/>
  <c r="D3" i="1"/>
  <c r="J3" i="1" s="1"/>
  <c r="J2" i="1"/>
</calcChain>
</file>

<file path=xl/sharedStrings.xml><?xml version="1.0" encoding="utf-8"?>
<sst xmlns="http://schemas.openxmlformats.org/spreadsheetml/2006/main" count="255" uniqueCount="74">
  <si>
    <t>UNIT</t>
  </si>
  <si>
    <t>QTY</t>
  </si>
  <si>
    <t>UNIT COST</t>
  </si>
  <si>
    <t>UNIT TOTAL</t>
  </si>
  <si>
    <t>COST CODE</t>
  </si>
  <si>
    <t xml:space="preserve">UM </t>
  </si>
  <si>
    <t>PX</t>
  </si>
  <si>
    <t>HRS</t>
  </si>
  <si>
    <t>LBR COST</t>
  </si>
  <si>
    <t>EQUIP</t>
  </si>
  <si>
    <t>TRUCKING</t>
  </si>
  <si>
    <t>DUMP FEES</t>
  </si>
  <si>
    <t>MATERIAL</t>
  </si>
  <si>
    <t>TOTAL</t>
  </si>
  <si>
    <t>DIFFERENCE</t>
  </si>
  <si>
    <t>Asphalt Concrete Pavement</t>
  </si>
  <si>
    <t>TON</t>
  </si>
  <si>
    <t>AC</t>
  </si>
  <si>
    <t>LS</t>
  </si>
  <si>
    <t>ALLOWANCE</t>
  </si>
  <si>
    <t xml:space="preserve">$-   </t>
  </si>
  <si>
    <t xml:space="preserve">ALLOWANCE </t>
  </si>
  <si>
    <t xml:space="preserve"> $-   </t>
  </si>
  <si>
    <t>CY</t>
  </si>
  <si>
    <t>Concrete Sidewalk (t=4")</t>
  </si>
  <si>
    <t>SF</t>
  </si>
  <si>
    <t>CONCRETE</t>
  </si>
  <si>
    <t>LF</t>
  </si>
  <si>
    <t>Concrete Driveway (t=6")</t>
  </si>
  <si>
    <t>EA</t>
  </si>
  <si>
    <t>MOBILIZATION</t>
  </si>
  <si>
    <t>SUB</t>
  </si>
  <si>
    <t>SLATER</t>
  </si>
  <si>
    <t>Crushed Miscellaneous Base</t>
  </si>
  <si>
    <t>Concrete Curb Type A</t>
  </si>
  <si>
    <t>Concrete Integral Curb and Gutter, Type To Be Specified Per Plan (a=2', b=6")</t>
  </si>
  <si>
    <t>Concrete Intersection Gutter (b=6", g=4', v=varies)</t>
  </si>
  <si>
    <t>Curb Ramp, including Detectable Warning Surface</t>
  </si>
  <si>
    <t>Nonwalkable Surface</t>
  </si>
  <si>
    <t>Concrete Wall, including Chain Link Fence</t>
  </si>
  <si>
    <t>Concrete Curb</t>
  </si>
  <si>
    <t>Concrete Integral Curb and Gutter</t>
  </si>
  <si>
    <t>Concrete Intersection Gutter</t>
  </si>
  <si>
    <t>Concrete Pavement</t>
  </si>
  <si>
    <t>Concrete Driveway</t>
  </si>
  <si>
    <t>Concrete Sidewalk, including Curb Ramps</t>
  </si>
  <si>
    <t>Cold Mill Asphalt Concrete Pavement (t=2" min.)</t>
  </si>
  <si>
    <t>Metal Railroad Fencing</t>
  </si>
  <si>
    <t>Unclassified Excavation</t>
  </si>
  <si>
    <t>Remove Tree and Stump</t>
  </si>
  <si>
    <t>Wrought Iron Fence, including Gates</t>
  </si>
  <si>
    <t>Detectable Warning Surface Tile</t>
  </si>
  <si>
    <t>Grade Only or Landscaping</t>
  </si>
  <si>
    <t>Adjust Street Lighting Pullbox to Grade</t>
  </si>
  <si>
    <t>Adjust Street Light Pole to Grade</t>
  </si>
  <si>
    <t>Adjust Water Valve to Grade</t>
  </si>
  <si>
    <t>Adjust Sewer Maintenance Hole to Grade</t>
  </si>
  <si>
    <t>Street Sign (Remove and Reinstall)</t>
  </si>
  <si>
    <t>Mobilization per General Requirements, Sections 01292 &amp; 01721</t>
  </si>
  <si>
    <t>Pedestrian Barricade</t>
  </si>
  <si>
    <t>Chain Link Fencing, including Gates</t>
  </si>
  <si>
    <t>Signage and Striping per Contract Plans and Documents</t>
  </si>
  <si>
    <t>Street Lighting per Contract Plans and Documents</t>
  </si>
  <si>
    <t>TRAFFIC CONTROL</t>
  </si>
  <si>
    <t>Allowance for Differing Site Conditions per General Requirements, Sections 01212 &amp; 01253</t>
  </si>
  <si>
    <t>Allowance for Grading in Temporary Construction Easement per General Requirements, Section 01212</t>
  </si>
  <si>
    <t>Allowance for Railroad Requirements for Safety Plan, Permitting, Flagging, and Inspection</t>
  </si>
  <si>
    <t>Traffic Control (Includes plan, preparation, implementation, and permitting for all detour and construction stages)</t>
  </si>
  <si>
    <t>DEMO/EX</t>
  </si>
  <si>
    <t>LINE ITEM</t>
  </si>
  <si>
    <t>ACTUAL</t>
  </si>
  <si>
    <t>BASE/GRADING</t>
  </si>
  <si>
    <t>GNRL LBR</t>
  </si>
  <si>
    <t>SAWCUT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</si>
</sst>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8" fontId="2" fillId="0" borderId="1" xfId="0" applyNumberFormat="1" applyFont="1" applyBorder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8" fontId="2" fillId="3" borderId="1" xfId="0" applyNumberFormat="1" applyFont="1" applyFill="1" applyBorder="1"/>
    <xf numFmtId="0" fontId="2" fillId="3" borderId="1" xfId="0" applyFont="1" applyFill="1" applyBorder="1"/>
    <xf numFmtId="0" fontId="2" fillId="3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8" fontId="2" fillId="3" borderId="2" xfId="0" applyNumberFormat="1" applyFont="1" applyFill="1" applyBorder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1" fillId="0" borderId="2" xfId="0" applyFont="1" applyBorder="1" applyAlignment="1">
      <alignment horizontal="center" vertical="center"/>
    </xf>
    <xf numFmtId="8" fontId="2" fillId="0" borderId="2" xfId="0" applyNumberFormat="1" applyFont="1" applyBorder="1"/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left" vertical="top" indent="4" shrinkToFit="1"/>
    </xf>
    <xf numFmtId="164" fontId="3" fillId="7" borderId="4" xfId="0" applyNumberFormat="1" applyFont="1" applyFill="1" applyBorder="1" applyAlignment="1">
      <alignment horizontal="left" vertical="top" indent="4" shrinkToFit="1"/>
    </xf>
    <xf numFmtId="2" fontId="3" fillId="7" borderId="3" xfId="0" applyNumberFormat="1" applyFont="1" applyFill="1" applyBorder="1" applyAlignment="1">
      <alignment horizontal="left" vertical="top" indent="4" shrinkToFit="1"/>
    </xf>
    <xf numFmtId="2" fontId="3" fillId="7" borderId="4" xfId="0" applyNumberFormat="1" applyFont="1" applyFill="1" applyBorder="1" applyAlignment="1">
      <alignment horizontal="left" vertical="top" indent="4" shrinkToFit="1"/>
    </xf>
    <xf numFmtId="1" fontId="3" fillId="0" borderId="3" xfId="0" applyNumberFormat="1" applyFont="1" applyBorder="1" applyAlignment="1">
      <alignment horizontal="left" vertical="top" indent="3" shrinkToFit="1"/>
    </xf>
    <xf numFmtId="1" fontId="3" fillId="0" borderId="4" xfId="0" applyNumberFormat="1" applyFont="1" applyBorder="1" applyAlignment="1">
      <alignment horizontal="left" vertical="top" indent="3" shrinkToFit="1"/>
    </xf>
    <xf numFmtId="164" fontId="2" fillId="0" borderId="1" xfId="0" applyNumberFormat="1" applyFont="1" applyBorder="1"/>
    <xf numFmtId="164" fontId="2" fillId="0" borderId="0" xfId="0" applyNumberFormat="1" applyFont="1"/>
    <xf numFmtId="0" fontId="2" fillId="8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" fontId="2" fillId="0" borderId="1" xfId="0" applyNumberFormat="1" applyFont="1" applyBorder="1"/>
    <xf numFmtId="0" fontId="1" fillId="10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 indent="4"/>
    </xf>
    <xf numFmtId="0" fontId="2" fillId="1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2A8D-9490-4DB6-9A83-11257B83E791}">
  <sheetPr codeName="Sheet1"/>
  <dimension ref="A1:T63"/>
  <sheetViews>
    <sheetView tabSelected="1" topLeftCell="A34" workbookViewId="0">
      <selection activeCell="L9" sqref="L9"/>
    </sheetView>
  </sheetViews>
  <sheetFormatPr defaultRowHeight="15" x14ac:dyDescent="0.25"/>
  <cols>
    <col min="1" max="1" width="11.28515625" bestFit="1" customWidth="1"/>
    <col min="2" max="2" width="62.85546875" customWidth="1"/>
    <col min="3" max="3" width="5.7109375" bestFit="1" customWidth="1"/>
    <col min="4" max="4" width="7.28515625" bestFit="1" customWidth="1"/>
    <col min="5" max="6" width="13.28515625" bestFit="1" customWidth="1"/>
    <col min="7" max="7" width="18.7109375" bestFit="1" customWidth="1"/>
    <col min="8" max="8" width="5.7109375" bestFit="1" customWidth="1"/>
    <col min="9" max="9" width="8.42578125" bestFit="1" customWidth="1"/>
    <col min="10" max="10" width="6.140625" bestFit="1" customWidth="1"/>
    <col min="11" max="12" width="5.5703125" bestFit="1" customWidth="1"/>
    <col min="13" max="13" width="13.28515625" bestFit="1" customWidth="1"/>
    <col min="14" max="14" width="10.85546875" bestFit="1" customWidth="1"/>
    <col min="15" max="17" width="12" bestFit="1" customWidth="1"/>
    <col min="18" max="19" width="13.28515625" bestFit="1" customWidth="1"/>
    <col min="20" max="20" width="12.42578125" bestFit="1" customWidth="1"/>
  </cols>
  <sheetData>
    <row r="1" spans="1:20" ht="15.75" x14ac:dyDescent="0.25">
      <c r="A1" s="2" t="s">
        <v>69</v>
      </c>
      <c r="B1" s="1" t="s">
        <v>32</v>
      </c>
      <c r="C1" s="1" t="s">
        <v>0</v>
      </c>
      <c r="D1" s="2" t="s">
        <v>1</v>
      </c>
      <c r="E1" s="3" t="s">
        <v>2</v>
      </c>
      <c r="F1" s="3" t="s">
        <v>3</v>
      </c>
      <c r="G1" s="4" t="s">
        <v>4</v>
      </c>
      <c r="H1" s="4" t="s">
        <v>5</v>
      </c>
      <c r="I1" s="4" t="s">
        <v>70</v>
      </c>
      <c r="J1" s="52" t="s">
        <v>1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31</v>
      </c>
      <c r="S1" s="4" t="s">
        <v>13</v>
      </c>
      <c r="T1" s="4" t="s">
        <v>14</v>
      </c>
    </row>
    <row r="2" spans="1:20" ht="15.75" x14ac:dyDescent="0.25">
      <c r="A2" s="5">
        <v>25</v>
      </c>
      <c r="B2" s="15" t="s">
        <v>15</v>
      </c>
      <c r="C2" s="16" t="s">
        <v>16</v>
      </c>
      <c r="D2" s="14">
        <v>158</v>
      </c>
      <c r="E2" s="18">
        <v>400</v>
      </c>
      <c r="F2" s="18">
        <v>63200</v>
      </c>
      <c r="G2" s="11" t="s">
        <v>17</v>
      </c>
      <c r="H2" s="10" t="s">
        <v>16</v>
      </c>
      <c r="I2" s="10"/>
      <c r="J2" s="12">
        <f>D2</f>
        <v>158</v>
      </c>
      <c r="K2" s="19">
        <v>1</v>
      </c>
      <c r="L2" s="19">
        <v>158</v>
      </c>
      <c r="M2" s="18">
        <v>14220</v>
      </c>
      <c r="N2" s="19"/>
      <c r="O2" s="19"/>
      <c r="P2" s="19"/>
      <c r="Q2" s="18">
        <v>15010</v>
      </c>
      <c r="R2" s="19" t="s">
        <v>22</v>
      </c>
      <c r="S2" s="18">
        <v>29230</v>
      </c>
      <c r="T2" s="18">
        <v>33970</v>
      </c>
    </row>
    <row r="3" spans="1:20" ht="15.75" x14ac:dyDescent="0.25">
      <c r="A3" s="59">
        <v>25.1</v>
      </c>
      <c r="B3" s="60" t="s">
        <v>15</v>
      </c>
      <c r="C3" s="57" t="s">
        <v>25</v>
      </c>
      <c r="D3" s="58">
        <f>1575.54+2585</f>
        <v>4160.54</v>
      </c>
      <c r="E3" s="27"/>
      <c r="F3" s="27"/>
      <c r="G3" s="11" t="s">
        <v>17</v>
      </c>
      <c r="H3" s="28" t="s">
        <v>16</v>
      </c>
      <c r="I3" s="28"/>
      <c r="J3" s="12">
        <f>D3/54*2</f>
        <v>154.09407407407409</v>
      </c>
      <c r="K3" s="29">
        <v>1</v>
      </c>
      <c r="L3" s="29"/>
      <c r="M3" s="27"/>
      <c r="N3" s="29"/>
      <c r="O3" s="29"/>
      <c r="P3" s="29"/>
      <c r="Q3" s="27"/>
      <c r="R3" s="29"/>
      <c r="S3" s="27"/>
      <c r="T3" s="27"/>
    </row>
    <row r="4" spans="1:20" ht="31.5" x14ac:dyDescent="0.25">
      <c r="A4" s="24">
        <v>2</v>
      </c>
      <c r="B4" s="20" t="s">
        <v>64</v>
      </c>
      <c r="C4" s="25" t="s">
        <v>18</v>
      </c>
      <c r="D4" s="26">
        <v>1</v>
      </c>
      <c r="E4" s="27">
        <v>10000</v>
      </c>
      <c r="F4" s="27">
        <v>10000</v>
      </c>
      <c r="G4" s="28" t="s">
        <v>19</v>
      </c>
      <c r="H4" s="28"/>
      <c r="I4" s="28"/>
      <c r="J4" s="12">
        <f>D4</f>
        <v>1</v>
      </c>
      <c r="K4" s="29"/>
      <c r="L4" s="29"/>
      <c r="M4" s="29"/>
      <c r="N4" s="29"/>
      <c r="O4" s="29"/>
      <c r="P4" s="29"/>
      <c r="Q4" s="29"/>
      <c r="R4" s="29"/>
      <c r="S4" s="29" t="s">
        <v>20</v>
      </c>
      <c r="T4" s="27">
        <v>10000</v>
      </c>
    </row>
    <row r="5" spans="1:20" ht="31.5" x14ac:dyDescent="0.25">
      <c r="A5" s="24">
        <v>3</v>
      </c>
      <c r="B5" s="20" t="s">
        <v>65</v>
      </c>
      <c r="C5" s="25" t="s">
        <v>18</v>
      </c>
      <c r="D5" s="26">
        <v>1</v>
      </c>
      <c r="E5" s="27">
        <v>15000</v>
      </c>
      <c r="F5" s="27">
        <v>15000</v>
      </c>
      <c r="G5" s="28" t="s">
        <v>21</v>
      </c>
      <c r="H5" s="28"/>
      <c r="I5" s="28"/>
      <c r="J5" s="12">
        <f>D5</f>
        <v>1</v>
      </c>
      <c r="K5" s="29"/>
      <c r="L5" s="29"/>
      <c r="M5" s="29"/>
      <c r="N5" s="29"/>
      <c r="O5" s="29"/>
      <c r="P5" s="29"/>
      <c r="Q5" s="29"/>
      <c r="R5" s="29"/>
      <c r="S5" s="29" t="s">
        <v>22</v>
      </c>
      <c r="T5" s="27">
        <v>15000</v>
      </c>
    </row>
    <row r="6" spans="1:20" ht="31.5" x14ac:dyDescent="0.25">
      <c r="A6" s="24">
        <v>4</v>
      </c>
      <c r="B6" s="20" t="s">
        <v>66</v>
      </c>
      <c r="C6" s="25" t="s">
        <v>18</v>
      </c>
      <c r="D6" s="26">
        <v>1</v>
      </c>
      <c r="E6" s="27">
        <v>35000</v>
      </c>
      <c r="F6" s="27">
        <v>35000</v>
      </c>
      <c r="G6" s="28" t="s">
        <v>21</v>
      </c>
      <c r="H6" s="28"/>
      <c r="I6" s="28"/>
      <c r="J6" s="12">
        <f>D6</f>
        <v>1</v>
      </c>
      <c r="K6" s="29"/>
      <c r="L6" s="29">
        <v>0</v>
      </c>
      <c r="M6" s="29" t="s">
        <v>20</v>
      </c>
      <c r="N6" s="29"/>
      <c r="O6" s="29"/>
      <c r="P6" s="29"/>
      <c r="Q6" s="29" t="s">
        <v>22</v>
      </c>
      <c r="R6" s="29"/>
      <c r="S6" s="29" t="s">
        <v>22</v>
      </c>
      <c r="T6" s="27">
        <v>35000</v>
      </c>
    </row>
    <row r="7" spans="1:20" ht="15.75" x14ac:dyDescent="0.25">
      <c r="A7" s="5">
        <v>26</v>
      </c>
      <c r="B7" s="15" t="s">
        <v>33</v>
      </c>
      <c r="C7" s="16" t="s">
        <v>23</v>
      </c>
      <c r="D7" s="54">
        <f>SUM(J8:J15)</f>
        <v>101.3366402116402</v>
      </c>
      <c r="E7" s="18">
        <v>250</v>
      </c>
      <c r="F7" s="18">
        <v>36250</v>
      </c>
      <c r="G7" s="11" t="s">
        <v>71</v>
      </c>
      <c r="H7" s="10"/>
      <c r="I7" s="10"/>
      <c r="J7" s="50">
        <f>D7</f>
        <v>101.3366402116402</v>
      </c>
      <c r="K7" s="19">
        <v>1</v>
      </c>
      <c r="L7" s="19">
        <v>145</v>
      </c>
      <c r="M7" s="18">
        <v>13050</v>
      </c>
      <c r="N7" s="19"/>
      <c r="O7" s="19"/>
      <c r="P7" s="19"/>
      <c r="Q7" s="18">
        <v>5800</v>
      </c>
      <c r="R7" s="19"/>
      <c r="S7" s="18">
        <v>18850</v>
      </c>
      <c r="T7" s="18">
        <v>17400</v>
      </c>
    </row>
    <row r="8" spans="1:20" ht="15.75" x14ac:dyDescent="0.25">
      <c r="A8" s="44">
        <v>26.1</v>
      </c>
      <c r="B8" s="36" t="s">
        <v>34</v>
      </c>
      <c r="C8" s="37" t="s">
        <v>27</v>
      </c>
      <c r="D8" s="38">
        <v>79</v>
      </c>
      <c r="E8" s="18"/>
      <c r="F8" s="18"/>
      <c r="G8" s="11" t="s">
        <v>71</v>
      </c>
      <c r="H8" s="10" t="s">
        <v>23</v>
      </c>
      <c r="I8" s="10"/>
      <c r="J8" s="50">
        <f>D8/54</f>
        <v>1.462962962962963</v>
      </c>
      <c r="K8" s="19">
        <v>1</v>
      </c>
      <c r="L8" s="19">
        <v>9</v>
      </c>
      <c r="M8" s="18"/>
      <c r="N8" s="19"/>
      <c r="O8" s="19"/>
      <c r="P8" s="19"/>
      <c r="Q8" s="18"/>
      <c r="R8" s="19"/>
      <c r="S8" s="18"/>
      <c r="T8" s="18"/>
    </row>
    <row r="9" spans="1:20" ht="31.5" x14ac:dyDescent="0.25">
      <c r="A9" s="44">
        <v>26.2</v>
      </c>
      <c r="B9" s="36" t="s">
        <v>35</v>
      </c>
      <c r="C9" s="37" t="s">
        <v>27</v>
      </c>
      <c r="D9" s="38">
        <v>317</v>
      </c>
      <c r="E9" s="18"/>
      <c r="F9" s="18"/>
      <c r="G9" s="11" t="s">
        <v>71</v>
      </c>
      <c r="H9" s="10" t="s">
        <v>23</v>
      </c>
      <c r="I9" s="10"/>
      <c r="J9" s="50">
        <f>D9/7</f>
        <v>45.285714285714285</v>
      </c>
      <c r="K9" s="19">
        <v>1</v>
      </c>
      <c r="L9" s="19">
        <v>272</v>
      </c>
      <c r="M9" s="18"/>
      <c r="N9" s="19"/>
      <c r="O9" s="19"/>
      <c r="P9" s="19"/>
      <c r="Q9" s="18"/>
      <c r="R9" s="19"/>
      <c r="S9" s="18"/>
      <c r="T9" s="18"/>
    </row>
    <row r="10" spans="1:20" ht="15.75" x14ac:dyDescent="0.25">
      <c r="A10" s="44">
        <v>26.3</v>
      </c>
      <c r="B10" s="39" t="s">
        <v>36</v>
      </c>
      <c r="C10" s="40" t="s">
        <v>25</v>
      </c>
      <c r="D10" s="35">
        <v>384</v>
      </c>
      <c r="E10" s="9"/>
      <c r="F10" s="9"/>
      <c r="G10" s="11" t="s">
        <v>71</v>
      </c>
      <c r="H10" s="11" t="s">
        <v>23</v>
      </c>
      <c r="I10" s="11"/>
      <c r="J10" s="50">
        <f>D10/54</f>
        <v>7.1111111111111107</v>
      </c>
      <c r="K10" s="12">
        <v>1</v>
      </c>
      <c r="L10" s="12">
        <v>29</v>
      </c>
      <c r="M10" s="9"/>
      <c r="N10" s="12"/>
      <c r="O10" s="12"/>
      <c r="P10" s="12"/>
      <c r="Q10" s="9"/>
      <c r="R10" s="12"/>
      <c r="S10" s="9"/>
      <c r="T10" s="9"/>
    </row>
    <row r="11" spans="1:20" ht="15.75" x14ac:dyDescent="0.25">
      <c r="A11" s="44">
        <v>26.4</v>
      </c>
      <c r="B11" s="39" t="s">
        <v>28</v>
      </c>
      <c r="C11" s="40" t="s">
        <v>25</v>
      </c>
      <c r="D11" s="35">
        <v>339</v>
      </c>
      <c r="E11" s="9"/>
      <c r="F11" s="9"/>
      <c r="G11" s="11" t="s">
        <v>71</v>
      </c>
      <c r="H11" s="11" t="s">
        <v>23</v>
      </c>
      <c r="I11" s="11"/>
      <c r="J11" s="50">
        <f>D11/54</f>
        <v>6.2777777777777777</v>
      </c>
      <c r="K11" s="12">
        <v>1</v>
      </c>
      <c r="L11" s="12">
        <v>38</v>
      </c>
      <c r="M11" s="9"/>
      <c r="N11" s="12"/>
      <c r="O11" s="12"/>
      <c r="P11" s="12"/>
      <c r="Q11" s="9"/>
      <c r="R11" s="12"/>
      <c r="S11" s="9"/>
      <c r="T11" s="9"/>
    </row>
    <row r="12" spans="1:20" ht="15.75" x14ac:dyDescent="0.25">
      <c r="A12" s="44">
        <v>26.5</v>
      </c>
      <c r="B12" s="39" t="s">
        <v>24</v>
      </c>
      <c r="C12" s="40" t="s">
        <v>25</v>
      </c>
      <c r="D12" s="41">
        <v>2507</v>
      </c>
      <c r="E12" s="9"/>
      <c r="F12" s="9"/>
      <c r="G12" s="11" t="s">
        <v>71</v>
      </c>
      <c r="H12" s="11" t="s">
        <v>23</v>
      </c>
      <c r="I12" s="11"/>
      <c r="J12" s="50">
        <f>D12/80</f>
        <v>31.337499999999999</v>
      </c>
      <c r="K12" s="12">
        <v>1</v>
      </c>
      <c r="L12" s="12">
        <v>188</v>
      </c>
      <c r="M12" s="9"/>
      <c r="N12" s="12"/>
      <c r="O12" s="12"/>
      <c r="P12" s="12"/>
      <c r="Q12" s="9"/>
      <c r="R12" s="12"/>
      <c r="S12" s="9"/>
      <c r="T12" s="9"/>
    </row>
    <row r="13" spans="1:20" ht="15.75" x14ac:dyDescent="0.25">
      <c r="A13" s="44">
        <v>26.6</v>
      </c>
      <c r="B13" s="39" t="s">
        <v>37</v>
      </c>
      <c r="C13" s="40" t="s">
        <v>29</v>
      </c>
      <c r="D13" s="35">
        <v>4</v>
      </c>
      <c r="E13" s="9"/>
      <c r="F13" s="9"/>
      <c r="G13" s="11" t="s">
        <v>71</v>
      </c>
      <c r="H13" s="11" t="s">
        <v>23</v>
      </c>
      <c r="I13" s="11"/>
      <c r="J13" s="50">
        <f>D13*2</f>
        <v>8</v>
      </c>
      <c r="K13" s="12">
        <v>1</v>
      </c>
      <c r="L13" s="12">
        <v>48</v>
      </c>
      <c r="M13" s="9"/>
      <c r="N13" s="12"/>
      <c r="O13" s="12"/>
      <c r="P13" s="12"/>
      <c r="Q13" s="9"/>
      <c r="R13" s="12"/>
      <c r="S13" s="9"/>
      <c r="T13" s="9"/>
    </row>
    <row r="14" spans="1:20" ht="15.75" x14ac:dyDescent="0.25">
      <c r="A14" s="44">
        <v>26.7</v>
      </c>
      <c r="B14" s="39" t="s">
        <v>38</v>
      </c>
      <c r="C14" s="40" t="s">
        <v>25</v>
      </c>
      <c r="D14" s="35">
        <v>23</v>
      </c>
      <c r="E14" s="9"/>
      <c r="F14" s="9"/>
      <c r="G14" s="11" t="s">
        <v>71</v>
      </c>
      <c r="H14" s="11" t="s">
        <v>23</v>
      </c>
      <c r="I14" s="11"/>
      <c r="J14" s="50">
        <f>D14/80</f>
        <v>0.28749999999999998</v>
      </c>
      <c r="K14" s="12">
        <v>1</v>
      </c>
      <c r="L14" s="12">
        <v>2</v>
      </c>
      <c r="M14" s="9"/>
      <c r="N14" s="12"/>
      <c r="O14" s="12"/>
      <c r="P14" s="12"/>
      <c r="Q14" s="9"/>
      <c r="R14" s="12"/>
      <c r="S14" s="9"/>
      <c r="T14" s="9"/>
    </row>
    <row r="15" spans="1:20" ht="15.75" x14ac:dyDescent="0.25">
      <c r="A15" s="44">
        <v>26.8</v>
      </c>
      <c r="B15" s="39" t="s">
        <v>39</v>
      </c>
      <c r="C15" s="40" t="s">
        <v>27</v>
      </c>
      <c r="D15" s="35">
        <v>85</v>
      </c>
      <c r="E15" s="9"/>
      <c r="F15" s="9"/>
      <c r="G15" s="11" t="s">
        <v>71</v>
      </c>
      <c r="H15" s="11" t="s">
        <v>23</v>
      </c>
      <c r="I15" s="55"/>
      <c r="J15" s="51">
        <f>D15/54</f>
        <v>1.5740740740740742</v>
      </c>
      <c r="K15" s="12">
        <v>1</v>
      </c>
      <c r="L15" s="12">
        <v>9</v>
      </c>
      <c r="M15" s="9"/>
      <c r="N15" s="9"/>
      <c r="O15" s="12"/>
      <c r="P15" s="12"/>
      <c r="Q15" s="9"/>
      <c r="R15" s="12"/>
      <c r="S15" s="9"/>
      <c r="T15" s="9"/>
    </row>
    <row r="16" spans="1:20" ht="15.75" x14ac:dyDescent="0.25">
      <c r="A16" s="44">
        <v>26.9</v>
      </c>
      <c r="B16" s="39" t="s">
        <v>15</v>
      </c>
      <c r="C16" s="40" t="s">
        <v>25</v>
      </c>
      <c r="D16" s="35"/>
      <c r="E16" s="9"/>
      <c r="F16" s="9"/>
      <c r="G16" s="11" t="s">
        <v>71</v>
      </c>
      <c r="H16" s="11" t="s">
        <v>23</v>
      </c>
      <c r="I16" s="55"/>
      <c r="J16" s="51">
        <f>D16/54</f>
        <v>0</v>
      </c>
      <c r="K16" s="12">
        <v>1</v>
      </c>
      <c r="L16" s="12"/>
      <c r="M16" s="9"/>
      <c r="N16" s="9"/>
      <c r="O16" s="12"/>
      <c r="P16" s="12"/>
      <c r="Q16" s="9"/>
      <c r="R16" s="12"/>
      <c r="S16" s="9"/>
      <c r="T16" s="9"/>
    </row>
    <row r="17" spans="1:20" ht="15.75" x14ac:dyDescent="0.25">
      <c r="A17" s="48">
        <v>19</v>
      </c>
      <c r="B17" s="15" t="s">
        <v>34</v>
      </c>
      <c r="C17" s="16" t="s">
        <v>27</v>
      </c>
      <c r="D17" s="14">
        <v>79</v>
      </c>
      <c r="E17" s="18">
        <v>80</v>
      </c>
      <c r="F17" s="18">
        <v>6320</v>
      </c>
      <c r="G17" s="11" t="s">
        <v>26</v>
      </c>
      <c r="H17" s="10" t="s">
        <v>23</v>
      </c>
      <c r="I17" s="10"/>
      <c r="J17" s="50">
        <f>D17/54</f>
        <v>1.462962962962963</v>
      </c>
      <c r="K17" s="19">
        <v>6</v>
      </c>
      <c r="L17" s="19">
        <v>9</v>
      </c>
      <c r="M17" s="18">
        <v>702.22</v>
      </c>
      <c r="N17" s="19" t="s">
        <v>22</v>
      </c>
      <c r="O17" s="19" t="s">
        <v>22</v>
      </c>
      <c r="P17" s="19" t="s">
        <v>22</v>
      </c>
      <c r="Q17" s="18">
        <v>329.17</v>
      </c>
      <c r="R17" s="19"/>
      <c r="S17" s="18">
        <v>1031.3900000000001</v>
      </c>
      <c r="T17" s="18">
        <v>5288.61</v>
      </c>
    </row>
    <row r="18" spans="1:20" ht="31.5" x14ac:dyDescent="0.25">
      <c r="A18" s="5">
        <v>20</v>
      </c>
      <c r="B18" s="15" t="s">
        <v>35</v>
      </c>
      <c r="C18" s="16" t="s">
        <v>27</v>
      </c>
      <c r="D18" s="14">
        <v>317</v>
      </c>
      <c r="E18" s="18">
        <v>150</v>
      </c>
      <c r="F18" s="18">
        <v>47550</v>
      </c>
      <c r="G18" s="11" t="s">
        <v>26</v>
      </c>
      <c r="H18" s="10" t="s">
        <v>23</v>
      </c>
      <c r="I18" s="10"/>
      <c r="J18" s="50">
        <f>D18/7</f>
        <v>45.285714285714285</v>
      </c>
      <c r="K18" s="19">
        <v>6</v>
      </c>
      <c r="L18" s="19">
        <v>272</v>
      </c>
      <c r="M18" s="18">
        <v>21737.14</v>
      </c>
      <c r="N18" s="19"/>
      <c r="O18" s="19"/>
      <c r="P18" s="19"/>
      <c r="Q18" s="18">
        <v>10189.290000000001</v>
      </c>
      <c r="R18" s="19"/>
      <c r="S18" s="18">
        <v>31926.43</v>
      </c>
      <c r="T18" s="18">
        <v>15623.57</v>
      </c>
    </row>
    <row r="19" spans="1:20" ht="15.75" x14ac:dyDescent="0.25">
      <c r="A19" s="5">
        <v>21</v>
      </c>
      <c r="B19" s="6" t="s">
        <v>36</v>
      </c>
      <c r="C19" s="7" t="s">
        <v>25</v>
      </c>
      <c r="D19" s="5">
        <v>384</v>
      </c>
      <c r="E19" s="9">
        <v>25</v>
      </c>
      <c r="F19" s="9">
        <v>9600</v>
      </c>
      <c r="G19" s="11" t="s">
        <v>26</v>
      </c>
      <c r="H19" s="11" t="s">
        <v>23</v>
      </c>
      <c r="I19" s="11"/>
      <c r="J19" s="50">
        <f>D19/54</f>
        <v>7.1111111111111107</v>
      </c>
      <c r="K19" s="12">
        <v>6</v>
      </c>
      <c r="L19" s="12">
        <v>29</v>
      </c>
      <c r="M19" s="9">
        <v>2304</v>
      </c>
      <c r="N19" s="12"/>
      <c r="O19" s="12"/>
      <c r="P19" s="12"/>
      <c r="Q19" s="9">
        <v>1080</v>
      </c>
      <c r="R19" s="12"/>
      <c r="S19" s="9">
        <v>3384</v>
      </c>
      <c r="T19" s="9">
        <v>6216</v>
      </c>
    </row>
    <row r="20" spans="1:20" ht="15.75" x14ac:dyDescent="0.25">
      <c r="A20" s="5">
        <v>22</v>
      </c>
      <c r="B20" s="6" t="s">
        <v>28</v>
      </c>
      <c r="C20" s="7" t="s">
        <v>25</v>
      </c>
      <c r="D20" s="5">
        <v>339</v>
      </c>
      <c r="E20" s="9">
        <v>20</v>
      </c>
      <c r="F20" s="9">
        <v>6780</v>
      </c>
      <c r="G20" s="11" t="s">
        <v>26</v>
      </c>
      <c r="H20" s="11" t="s">
        <v>23</v>
      </c>
      <c r="I20" s="11"/>
      <c r="J20" s="50">
        <f>D20/54</f>
        <v>6.2777777777777777</v>
      </c>
      <c r="K20" s="12">
        <v>6</v>
      </c>
      <c r="L20" s="12">
        <v>38</v>
      </c>
      <c r="M20" s="9">
        <v>3013.33</v>
      </c>
      <c r="N20" s="12"/>
      <c r="O20" s="12"/>
      <c r="P20" s="12"/>
      <c r="Q20" s="9">
        <v>1412.5</v>
      </c>
      <c r="R20" s="12"/>
      <c r="S20" s="9">
        <v>4425.83</v>
      </c>
      <c r="T20" s="9">
        <v>2354.17</v>
      </c>
    </row>
    <row r="21" spans="1:20" ht="15.75" x14ac:dyDescent="0.25">
      <c r="A21" s="5">
        <v>23</v>
      </c>
      <c r="B21" s="6" t="s">
        <v>24</v>
      </c>
      <c r="C21" s="7" t="s">
        <v>25</v>
      </c>
      <c r="D21" s="8">
        <v>2507</v>
      </c>
      <c r="E21" s="9">
        <v>20</v>
      </c>
      <c r="F21" s="9">
        <v>50140</v>
      </c>
      <c r="G21" s="11" t="s">
        <v>26</v>
      </c>
      <c r="H21" s="11" t="s">
        <v>23</v>
      </c>
      <c r="I21" s="11"/>
      <c r="J21" s="50">
        <f>D21/80</f>
        <v>31.337499999999999</v>
      </c>
      <c r="K21" s="12">
        <v>6</v>
      </c>
      <c r="L21" s="12">
        <v>188</v>
      </c>
      <c r="M21" s="9">
        <v>15042</v>
      </c>
      <c r="N21" s="12"/>
      <c r="O21" s="12"/>
      <c r="P21" s="12"/>
      <c r="Q21" s="9">
        <v>7050.94</v>
      </c>
      <c r="R21" s="12"/>
      <c r="S21" s="9">
        <v>22092.94</v>
      </c>
      <c r="T21" s="9">
        <v>28047.06</v>
      </c>
    </row>
    <row r="22" spans="1:20" ht="15.75" x14ac:dyDescent="0.25">
      <c r="A22" s="5">
        <v>24</v>
      </c>
      <c r="B22" s="6" t="s">
        <v>37</v>
      </c>
      <c r="C22" s="7" t="s">
        <v>29</v>
      </c>
      <c r="D22" s="5">
        <v>4</v>
      </c>
      <c r="E22" s="9">
        <v>12000</v>
      </c>
      <c r="F22" s="9">
        <v>48000</v>
      </c>
      <c r="G22" s="11" t="s">
        <v>26</v>
      </c>
      <c r="H22" s="11" t="s">
        <v>23</v>
      </c>
      <c r="I22" s="11"/>
      <c r="J22" s="50">
        <f>D22*2</f>
        <v>8</v>
      </c>
      <c r="K22" s="12">
        <v>6</v>
      </c>
      <c r="L22" s="12">
        <v>48</v>
      </c>
      <c r="M22" s="9">
        <v>3840</v>
      </c>
      <c r="N22" s="12"/>
      <c r="O22" s="12"/>
      <c r="P22" s="12"/>
      <c r="Q22" s="9">
        <v>1800</v>
      </c>
      <c r="R22" s="12"/>
      <c r="S22" s="9">
        <v>5640</v>
      </c>
      <c r="T22" s="9">
        <v>42360</v>
      </c>
    </row>
    <row r="23" spans="1:20" ht="15.75" x14ac:dyDescent="0.25">
      <c r="A23" s="5">
        <v>27</v>
      </c>
      <c r="B23" s="6" t="s">
        <v>38</v>
      </c>
      <c r="C23" s="7" t="s">
        <v>25</v>
      </c>
      <c r="D23" s="5">
        <v>23</v>
      </c>
      <c r="E23" s="9">
        <v>50</v>
      </c>
      <c r="F23" s="9">
        <v>1150</v>
      </c>
      <c r="G23" s="11" t="s">
        <v>26</v>
      </c>
      <c r="H23" s="11" t="s">
        <v>23</v>
      </c>
      <c r="I23" s="11"/>
      <c r="J23" s="50">
        <f>D23/80</f>
        <v>0.28749999999999998</v>
      </c>
      <c r="K23" s="12">
        <v>6</v>
      </c>
      <c r="L23" s="12">
        <v>2</v>
      </c>
      <c r="M23" s="9">
        <v>138</v>
      </c>
      <c r="N23" s="12"/>
      <c r="O23" s="12"/>
      <c r="P23" s="12"/>
      <c r="Q23" s="9">
        <v>64.69</v>
      </c>
      <c r="R23" s="12"/>
      <c r="S23" s="9">
        <v>202.69</v>
      </c>
      <c r="T23" s="9">
        <v>947.31</v>
      </c>
    </row>
    <row r="24" spans="1:20" ht="15.75" x14ac:dyDescent="0.25">
      <c r="A24" s="5">
        <v>32</v>
      </c>
      <c r="B24" s="6" t="s">
        <v>39</v>
      </c>
      <c r="C24" s="7" t="s">
        <v>27</v>
      </c>
      <c r="D24" s="5">
        <v>85</v>
      </c>
      <c r="E24" s="9">
        <v>300</v>
      </c>
      <c r="F24" s="9">
        <v>25500</v>
      </c>
      <c r="G24" s="11" t="s">
        <v>26</v>
      </c>
      <c r="H24" s="11" t="s">
        <v>23</v>
      </c>
      <c r="I24" s="55"/>
      <c r="J24" s="51">
        <f>D24/54</f>
        <v>1.5740740740740742</v>
      </c>
      <c r="K24" s="12">
        <v>6</v>
      </c>
      <c r="L24" s="12">
        <v>9</v>
      </c>
      <c r="M24" s="9">
        <v>755.56</v>
      </c>
      <c r="N24" s="9">
        <v>7225</v>
      </c>
      <c r="O24" s="12"/>
      <c r="P24" s="12"/>
      <c r="Q24" s="9">
        <v>354.17</v>
      </c>
      <c r="R24" s="12"/>
      <c r="S24" s="9">
        <v>8334.7199999999993</v>
      </c>
      <c r="T24" s="9">
        <v>17165.28</v>
      </c>
    </row>
    <row r="25" spans="1:20" ht="15.75" x14ac:dyDescent="0.25">
      <c r="A25" s="5">
        <v>6</v>
      </c>
      <c r="B25" s="15" t="s">
        <v>40</v>
      </c>
      <c r="C25" s="16" t="s">
        <v>27</v>
      </c>
      <c r="D25" s="14">
        <v>21</v>
      </c>
      <c r="E25" s="18">
        <v>25</v>
      </c>
      <c r="F25" s="18">
        <v>525</v>
      </c>
      <c r="G25" s="11" t="s">
        <v>68</v>
      </c>
      <c r="H25" s="10" t="s">
        <v>23</v>
      </c>
      <c r="I25" s="10"/>
      <c r="J25" s="12">
        <f>D25/54</f>
        <v>0.3888888888888889</v>
      </c>
      <c r="K25" s="19">
        <v>1</v>
      </c>
      <c r="L25" s="19">
        <v>0</v>
      </c>
      <c r="M25" s="18">
        <v>31.11</v>
      </c>
      <c r="N25" s="19"/>
      <c r="O25" s="18">
        <v>13.61</v>
      </c>
      <c r="P25" s="18">
        <v>13.61</v>
      </c>
      <c r="Q25" s="19"/>
      <c r="R25" s="19"/>
      <c r="S25" s="18">
        <v>58.33</v>
      </c>
      <c r="T25" s="18">
        <v>466.67</v>
      </c>
    </row>
    <row r="26" spans="1:20" ht="15.75" x14ac:dyDescent="0.25">
      <c r="A26" s="5">
        <v>7</v>
      </c>
      <c r="B26" s="15" t="s">
        <v>41</v>
      </c>
      <c r="C26" s="21" t="s">
        <v>27</v>
      </c>
      <c r="D26" s="14">
        <v>302</v>
      </c>
      <c r="E26" s="18">
        <v>50</v>
      </c>
      <c r="F26" s="18">
        <v>15100</v>
      </c>
      <c r="G26" s="11" t="s">
        <v>68</v>
      </c>
      <c r="H26" s="10" t="s">
        <v>23</v>
      </c>
      <c r="I26" s="10"/>
      <c r="J26" s="12">
        <f>D26/15</f>
        <v>20.133333333333333</v>
      </c>
      <c r="K26" s="19">
        <v>1</v>
      </c>
      <c r="L26" s="19">
        <v>20</v>
      </c>
      <c r="M26" s="18">
        <v>1610.67</v>
      </c>
      <c r="N26" s="19"/>
      <c r="O26" s="18">
        <v>704.67</v>
      </c>
      <c r="P26" s="18">
        <v>704.67</v>
      </c>
      <c r="Q26" s="19"/>
      <c r="R26" s="19"/>
      <c r="S26" s="18">
        <v>3020</v>
      </c>
      <c r="T26" s="18">
        <v>12080</v>
      </c>
    </row>
    <row r="27" spans="1:20" ht="15.75" x14ac:dyDescent="0.25">
      <c r="A27" s="5">
        <v>8</v>
      </c>
      <c r="B27" s="15" t="s">
        <v>42</v>
      </c>
      <c r="C27" s="21" t="s">
        <v>25</v>
      </c>
      <c r="D27" s="14">
        <v>350</v>
      </c>
      <c r="E27" s="18">
        <v>30</v>
      </c>
      <c r="F27" s="18">
        <v>10500</v>
      </c>
      <c r="G27" s="11" t="s">
        <v>68</v>
      </c>
      <c r="H27" s="10" t="s">
        <v>23</v>
      </c>
      <c r="I27" s="10"/>
      <c r="J27" s="12">
        <f>D27/54</f>
        <v>6.4814814814814818</v>
      </c>
      <c r="K27" s="19">
        <v>1</v>
      </c>
      <c r="L27" s="19">
        <v>10</v>
      </c>
      <c r="M27" s="18">
        <v>777.78</v>
      </c>
      <c r="N27" s="19"/>
      <c r="O27" s="18">
        <v>340.28</v>
      </c>
      <c r="P27" s="18">
        <v>340.28</v>
      </c>
      <c r="Q27" s="19"/>
      <c r="R27" s="19"/>
      <c r="S27" s="18">
        <v>1458.33</v>
      </c>
      <c r="T27" s="18">
        <v>9041.67</v>
      </c>
    </row>
    <row r="28" spans="1:20" ht="15.75" x14ac:dyDescent="0.25">
      <c r="A28" s="5">
        <v>9</v>
      </c>
      <c r="B28" s="15" t="s">
        <v>43</v>
      </c>
      <c r="C28" s="16" t="s">
        <v>25</v>
      </c>
      <c r="D28" s="14">
        <v>503</v>
      </c>
      <c r="E28" s="18">
        <v>15</v>
      </c>
      <c r="F28" s="18">
        <v>7545</v>
      </c>
      <c r="G28" s="11" t="s">
        <v>68</v>
      </c>
      <c r="H28" s="10" t="s">
        <v>23</v>
      </c>
      <c r="I28" s="10"/>
      <c r="J28" s="12">
        <f>D28/54</f>
        <v>9.3148148148148149</v>
      </c>
      <c r="K28" s="19">
        <v>1</v>
      </c>
      <c r="L28" s="19">
        <v>9</v>
      </c>
      <c r="M28" s="18">
        <v>745.19</v>
      </c>
      <c r="N28" s="19"/>
      <c r="O28" s="18">
        <v>326.02</v>
      </c>
      <c r="P28" s="18">
        <v>326.02</v>
      </c>
      <c r="Q28" s="19"/>
      <c r="R28" s="19"/>
      <c r="S28" s="18">
        <v>1397.22</v>
      </c>
      <c r="T28" s="18">
        <v>6147.78</v>
      </c>
    </row>
    <row r="29" spans="1:20" ht="15.75" x14ac:dyDescent="0.25">
      <c r="A29" s="5">
        <v>10</v>
      </c>
      <c r="B29" s="6" t="s">
        <v>44</v>
      </c>
      <c r="C29" s="13" t="s">
        <v>25</v>
      </c>
      <c r="D29" s="5">
        <v>250</v>
      </c>
      <c r="E29" s="9">
        <v>15</v>
      </c>
      <c r="F29" s="9">
        <v>3750</v>
      </c>
      <c r="G29" s="11" t="s">
        <v>68</v>
      </c>
      <c r="H29" s="11" t="s">
        <v>23</v>
      </c>
      <c r="I29" s="11"/>
      <c r="J29" s="12">
        <f>D29/54</f>
        <v>4.6296296296296298</v>
      </c>
      <c r="K29" s="12">
        <v>1</v>
      </c>
      <c r="L29" s="12">
        <v>5</v>
      </c>
      <c r="M29" s="9">
        <v>370.37</v>
      </c>
      <c r="N29" s="12"/>
      <c r="O29" s="9">
        <v>162.04</v>
      </c>
      <c r="P29" s="18">
        <v>162.04</v>
      </c>
      <c r="Q29" s="19"/>
      <c r="R29" s="12"/>
      <c r="S29" s="9">
        <v>694.44</v>
      </c>
      <c r="T29" s="9">
        <v>3055.56</v>
      </c>
    </row>
    <row r="30" spans="1:20" ht="15.75" x14ac:dyDescent="0.25">
      <c r="A30" s="5">
        <v>11</v>
      </c>
      <c r="B30" s="6" t="s">
        <v>45</v>
      </c>
      <c r="C30" s="7" t="s">
        <v>25</v>
      </c>
      <c r="D30" s="8">
        <v>1601</v>
      </c>
      <c r="E30" s="9">
        <v>10</v>
      </c>
      <c r="F30" s="9">
        <v>16010</v>
      </c>
      <c r="G30" s="11" t="s">
        <v>68</v>
      </c>
      <c r="H30" s="11" t="s">
        <v>23</v>
      </c>
      <c r="I30" s="11"/>
      <c r="J30" s="12">
        <f>D30/80</f>
        <v>20.012499999999999</v>
      </c>
      <c r="K30" s="12">
        <v>1</v>
      </c>
      <c r="L30" s="12">
        <v>20</v>
      </c>
      <c r="M30" s="9">
        <v>1601</v>
      </c>
      <c r="N30" s="12"/>
      <c r="O30" s="9">
        <v>700.44</v>
      </c>
      <c r="P30" s="18">
        <v>700.44</v>
      </c>
      <c r="Q30" s="19"/>
      <c r="R30" s="12"/>
      <c r="S30" s="9">
        <v>3001.88</v>
      </c>
      <c r="T30" s="9">
        <v>13008.13</v>
      </c>
    </row>
    <row r="31" spans="1:20" ht="15.75" x14ac:dyDescent="0.25">
      <c r="A31" s="5">
        <v>12</v>
      </c>
      <c r="B31" s="6" t="s">
        <v>15</v>
      </c>
      <c r="C31" s="7" t="s">
        <v>25</v>
      </c>
      <c r="D31" s="8">
        <v>4208</v>
      </c>
      <c r="E31" s="9">
        <v>8</v>
      </c>
      <c r="F31" s="9">
        <v>33664</v>
      </c>
      <c r="G31" s="11" t="s">
        <v>68</v>
      </c>
      <c r="H31" s="11" t="s">
        <v>23</v>
      </c>
      <c r="I31" s="11"/>
      <c r="J31" s="12">
        <f>D31/54</f>
        <v>77.925925925925924</v>
      </c>
      <c r="K31" s="12">
        <v>1</v>
      </c>
      <c r="L31" s="12">
        <v>78</v>
      </c>
      <c r="M31" s="9">
        <v>7013.33</v>
      </c>
      <c r="N31" s="12"/>
      <c r="O31" s="9">
        <v>2727.41</v>
      </c>
      <c r="P31" s="18">
        <v>2727.41</v>
      </c>
      <c r="Q31" s="19"/>
      <c r="R31" s="12"/>
      <c r="S31" s="9">
        <v>12468.15</v>
      </c>
      <c r="T31" s="9">
        <v>21195.85</v>
      </c>
    </row>
    <row r="32" spans="1:20" ht="15.75" x14ac:dyDescent="0.25">
      <c r="A32" s="5">
        <v>13</v>
      </c>
      <c r="B32" s="15" t="s">
        <v>46</v>
      </c>
      <c r="C32" s="16" t="s">
        <v>25</v>
      </c>
      <c r="D32" s="17">
        <v>2115</v>
      </c>
      <c r="E32" s="18">
        <v>10</v>
      </c>
      <c r="F32" s="18">
        <v>21150</v>
      </c>
      <c r="G32" s="11" t="s">
        <v>68</v>
      </c>
      <c r="H32" s="10" t="s">
        <v>23</v>
      </c>
      <c r="I32" s="10"/>
      <c r="J32" s="12">
        <f>D32*0.17/27</f>
        <v>13.316666666666666</v>
      </c>
      <c r="K32" s="19">
        <v>1.82</v>
      </c>
      <c r="L32" s="19">
        <v>24</v>
      </c>
      <c r="M32" s="18">
        <v>1892.8</v>
      </c>
      <c r="N32" s="18">
        <v>1500</v>
      </c>
      <c r="O32" s="9">
        <v>455</v>
      </c>
      <c r="P32" s="18">
        <v>455</v>
      </c>
      <c r="Q32" s="19"/>
      <c r="R32" s="19"/>
      <c r="S32" s="18">
        <v>4302.8</v>
      </c>
      <c r="T32" s="18">
        <v>16847.2</v>
      </c>
    </row>
    <row r="33" spans="1:20" ht="15.75" x14ac:dyDescent="0.25">
      <c r="A33" s="5">
        <v>14</v>
      </c>
      <c r="B33" s="6" t="s">
        <v>47</v>
      </c>
      <c r="C33" s="13" t="s">
        <v>27</v>
      </c>
      <c r="D33" s="5">
        <v>146</v>
      </c>
      <c r="E33" s="9">
        <v>50</v>
      </c>
      <c r="F33" s="9">
        <v>7300</v>
      </c>
      <c r="G33" s="11" t="s">
        <v>68</v>
      </c>
      <c r="H33" s="11"/>
      <c r="I33" s="11"/>
      <c r="J33" s="12">
        <f>D33</f>
        <v>146</v>
      </c>
      <c r="K33" s="12">
        <v>0.2</v>
      </c>
      <c r="L33" s="12">
        <v>29</v>
      </c>
      <c r="M33" s="9">
        <v>2336</v>
      </c>
      <c r="N33" s="12"/>
      <c r="O33" s="12" t="s">
        <v>22</v>
      </c>
      <c r="P33" s="12" t="s">
        <v>22</v>
      </c>
      <c r="Q33" s="12"/>
      <c r="R33" s="9">
        <v>5840</v>
      </c>
      <c r="S33" s="9">
        <v>8176</v>
      </c>
      <c r="T33" s="9">
        <v>-876</v>
      </c>
    </row>
    <row r="34" spans="1:20" ht="15.75" x14ac:dyDescent="0.25">
      <c r="A34" s="5">
        <v>15</v>
      </c>
      <c r="B34" s="6" t="s">
        <v>48</v>
      </c>
      <c r="C34" s="7" t="s">
        <v>23</v>
      </c>
      <c r="D34" s="53">
        <f>SUM(J35:J41,J44)</f>
        <v>140.46064814814815</v>
      </c>
      <c r="E34" s="9">
        <v>300</v>
      </c>
      <c r="F34" s="9">
        <v>43200</v>
      </c>
      <c r="G34" s="11" t="s">
        <v>68</v>
      </c>
      <c r="H34" s="11" t="s">
        <v>23</v>
      </c>
      <c r="I34" s="11"/>
      <c r="J34" s="56">
        <f>D34</f>
        <v>140.46064814814815</v>
      </c>
      <c r="K34" s="12">
        <v>1</v>
      </c>
      <c r="L34" s="12">
        <v>144</v>
      </c>
      <c r="M34" s="9">
        <v>12960</v>
      </c>
      <c r="N34" s="12"/>
      <c r="O34" s="9">
        <v>5040</v>
      </c>
      <c r="P34" s="9">
        <v>5040</v>
      </c>
      <c r="Q34" s="12"/>
      <c r="R34" s="12"/>
      <c r="S34" s="9">
        <v>23040</v>
      </c>
      <c r="T34" s="9">
        <v>20160</v>
      </c>
    </row>
    <row r="35" spans="1:20" ht="15.75" x14ac:dyDescent="0.25">
      <c r="A35" s="45">
        <v>15.1</v>
      </c>
      <c r="B35" s="36" t="s">
        <v>40</v>
      </c>
      <c r="C35" s="37" t="s">
        <v>27</v>
      </c>
      <c r="D35" s="38">
        <v>21</v>
      </c>
      <c r="E35" s="18"/>
      <c r="F35" s="18"/>
      <c r="G35" s="11" t="s">
        <v>68</v>
      </c>
      <c r="H35" s="10" t="s">
        <v>23</v>
      </c>
      <c r="I35" s="10"/>
      <c r="J35" s="50">
        <f>D35/54</f>
        <v>0.3888888888888889</v>
      </c>
      <c r="K35" s="19">
        <v>1</v>
      </c>
      <c r="L35" s="19">
        <v>0</v>
      </c>
      <c r="M35" s="18"/>
      <c r="N35" s="19"/>
      <c r="O35" s="18"/>
      <c r="P35" s="18"/>
      <c r="Q35" s="19"/>
      <c r="R35" s="19"/>
      <c r="S35" s="18"/>
      <c r="T35" s="18"/>
    </row>
    <row r="36" spans="1:20" ht="15.75" x14ac:dyDescent="0.25">
      <c r="A36" s="44">
        <v>15.2</v>
      </c>
      <c r="B36" s="36" t="s">
        <v>41</v>
      </c>
      <c r="C36" s="42" t="s">
        <v>27</v>
      </c>
      <c r="D36" s="38">
        <v>302</v>
      </c>
      <c r="E36" s="18"/>
      <c r="F36" s="18"/>
      <c r="G36" s="11" t="s">
        <v>68</v>
      </c>
      <c r="H36" s="10" t="s">
        <v>23</v>
      </c>
      <c r="I36" s="10"/>
      <c r="J36" s="50">
        <f>D36/15</f>
        <v>20.133333333333333</v>
      </c>
      <c r="K36" s="19">
        <v>1</v>
      </c>
      <c r="L36" s="19">
        <v>20</v>
      </c>
      <c r="M36" s="18"/>
      <c r="N36" s="19"/>
      <c r="O36" s="18"/>
      <c r="P36" s="18"/>
      <c r="Q36" s="19"/>
      <c r="R36" s="19"/>
      <c r="S36" s="18"/>
      <c r="T36" s="18"/>
    </row>
    <row r="37" spans="1:20" ht="15.75" x14ac:dyDescent="0.25">
      <c r="A37" s="45">
        <v>15.3</v>
      </c>
      <c r="B37" s="36" t="s">
        <v>42</v>
      </c>
      <c r="C37" s="42" t="s">
        <v>25</v>
      </c>
      <c r="D37" s="38">
        <v>350</v>
      </c>
      <c r="E37" s="18"/>
      <c r="F37" s="18"/>
      <c r="G37" s="11" t="s">
        <v>68</v>
      </c>
      <c r="H37" s="10" t="s">
        <v>23</v>
      </c>
      <c r="I37" s="10"/>
      <c r="J37" s="50">
        <f>D37/54</f>
        <v>6.4814814814814818</v>
      </c>
      <c r="K37" s="19">
        <v>1</v>
      </c>
      <c r="L37" s="19">
        <v>10</v>
      </c>
      <c r="M37" s="18"/>
      <c r="N37" s="19"/>
      <c r="O37" s="18"/>
      <c r="P37" s="18"/>
      <c r="Q37" s="19"/>
      <c r="R37" s="19"/>
      <c r="S37" s="18"/>
      <c r="T37" s="18"/>
    </row>
    <row r="38" spans="1:20" ht="15.75" x14ac:dyDescent="0.25">
      <c r="A38" s="44">
        <v>15.4</v>
      </c>
      <c r="B38" s="36" t="s">
        <v>43</v>
      </c>
      <c r="C38" s="37" t="s">
        <v>25</v>
      </c>
      <c r="D38" s="38">
        <v>503</v>
      </c>
      <c r="E38" s="18"/>
      <c r="F38" s="18"/>
      <c r="G38" s="11" t="s">
        <v>68</v>
      </c>
      <c r="H38" s="10" t="s">
        <v>23</v>
      </c>
      <c r="I38" s="10"/>
      <c r="J38" s="50">
        <f>D38/54</f>
        <v>9.3148148148148149</v>
      </c>
      <c r="K38" s="19">
        <v>1</v>
      </c>
      <c r="L38" s="19">
        <v>9</v>
      </c>
      <c r="M38" s="18"/>
      <c r="N38" s="19"/>
      <c r="O38" s="18"/>
      <c r="P38" s="18"/>
      <c r="Q38" s="19"/>
      <c r="R38" s="19"/>
      <c r="S38" s="18"/>
      <c r="T38" s="18"/>
    </row>
    <row r="39" spans="1:20" ht="15.75" x14ac:dyDescent="0.25">
      <c r="A39" s="45">
        <v>15.5</v>
      </c>
      <c r="B39" s="39" t="s">
        <v>44</v>
      </c>
      <c r="C39" s="43" t="s">
        <v>25</v>
      </c>
      <c r="D39" s="35">
        <v>250</v>
      </c>
      <c r="E39" s="9"/>
      <c r="F39" s="9"/>
      <c r="G39" s="11" t="s">
        <v>68</v>
      </c>
      <c r="H39" s="11" t="s">
        <v>23</v>
      </c>
      <c r="I39" s="11"/>
      <c r="J39" s="50">
        <f>D39/54</f>
        <v>4.6296296296296298</v>
      </c>
      <c r="K39" s="12">
        <v>1</v>
      </c>
      <c r="L39" s="12">
        <v>5</v>
      </c>
      <c r="M39" s="9"/>
      <c r="N39" s="12"/>
      <c r="O39" s="9"/>
      <c r="P39" s="18"/>
      <c r="Q39" s="19"/>
      <c r="R39" s="12"/>
      <c r="S39" s="9"/>
      <c r="T39" s="9"/>
    </row>
    <row r="40" spans="1:20" ht="15.75" x14ac:dyDescent="0.25">
      <c r="A40" s="44">
        <v>15.6</v>
      </c>
      <c r="B40" s="39" t="s">
        <v>45</v>
      </c>
      <c r="C40" s="40" t="s">
        <v>25</v>
      </c>
      <c r="D40" s="41">
        <v>1601</v>
      </c>
      <c r="E40" s="9"/>
      <c r="F40" s="9"/>
      <c r="G40" s="11" t="s">
        <v>68</v>
      </c>
      <c r="H40" s="11" t="s">
        <v>23</v>
      </c>
      <c r="I40" s="11"/>
      <c r="J40" s="50">
        <f>D40/80</f>
        <v>20.012499999999999</v>
      </c>
      <c r="K40" s="12">
        <v>1</v>
      </c>
      <c r="L40" s="12">
        <v>20</v>
      </c>
      <c r="M40" s="9"/>
      <c r="N40" s="12"/>
      <c r="O40" s="9"/>
      <c r="P40" s="18"/>
      <c r="Q40" s="19"/>
      <c r="R40" s="12"/>
      <c r="S40" s="9"/>
      <c r="T40" s="9"/>
    </row>
    <row r="41" spans="1:20" ht="15.75" x14ac:dyDescent="0.25">
      <c r="A41" s="45">
        <v>15.7</v>
      </c>
      <c r="B41" s="39" t="s">
        <v>15</v>
      </c>
      <c r="C41" s="40" t="s">
        <v>25</v>
      </c>
      <c r="D41" s="41">
        <v>4208</v>
      </c>
      <c r="E41" s="9"/>
      <c r="F41" s="9"/>
      <c r="G41" s="11" t="s">
        <v>68</v>
      </c>
      <c r="H41" s="11" t="s">
        <v>23</v>
      </c>
      <c r="I41" s="11"/>
      <c r="J41" s="50">
        <f>D41/54</f>
        <v>77.925925925925924</v>
      </c>
      <c r="K41" s="12">
        <v>1</v>
      </c>
      <c r="L41" s="12">
        <v>78</v>
      </c>
      <c r="M41" s="9"/>
      <c r="N41" s="12"/>
      <c r="O41" s="9"/>
      <c r="P41" s="18"/>
      <c r="Q41" s="19"/>
      <c r="R41" s="12"/>
      <c r="S41" s="9"/>
      <c r="T41" s="9"/>
    </row>
    <row r="42" spans="1:20" ht="15.75" x14ac:dyDescent="0.25">
      <c r="A42" s="44">
        <v>15.8</v>
      </c>
      <c r="B42" s="39" t="s">
        <v>47</v>
      </c>
      <c r="C42" s="43" t="s">
        <v>27</v>
      </c>
      <c r="D42" s="35">
        <v>146</v>
      </c>
      <c r="E42" s="9"/>
      <c r="F42" s="9"/>
      <c r="G42" s="11" t="s">
        <v>68</v>
      </c>
      <c r="H42" s="11"/>
      <c r="I42" s="11"/>
      <c r="J42" s="50">
        <f>D42</f>
        <v>146</v>
      </c>
      <c r="K42" s="12">
        <v>0.2</v>
      </c>
      <c r="L42" s="12">
        <v>29</v>
      </c>
      <c r="M42" s="9"/>
      <c r="N42" s="12"/>
      <c r="O42" s="12"/>
      <c r="P42" s="12"/>
      <c r="Q42" s="12"/>
      <c r="R42" s="9"/>
      <c r="S42" s="9"/>
      <c r="T42" s="9"/>
    </row>
    <row r="43" spans="1:20" ht="15.75" x14ac:dyDescent="0.25">
      <c r="A43" s="45">
        <v>15.9</v>
      </c>
      <c r="B43" s="39" t="s">
        <v>49</v>
      </c>
      <c r="C43" s="40" t="s">
        <v>29</v>
      </c>
      <c r="D43" s="35">
        <v>1</v>
      </c>
      <c r="E43" s="9"/>
      <c r="F43" s="9"/>
      <c r="G43" s="11" t="s">
        <v>68</v>
      </c>
      <c r="H43" s="11"/>
      <c r="I43" s="11"/>
      <c r="J43" s="50">
        <f>D43</f>
        <v>1</v>
      </c>
      <c r="K43" s="12">
        <v>1</v>
      </c>
      <c r="L43" s="12">
        <v>16</v>
      </c>
      <c r="M43" s="9"/>
      <c r="N43" s="12"/>
      <c r="O43" s="12"/>
      <c r="P43" s="12"/>
      <c r="Q43" s="12"/>
      <c r="R43" s="9"/>
      <c r="S43" s="9"/>
      <c r="T43" s="9"/>
    </row>
    <row r="44" spans="1:20" ht="15.75" x14ac:dyDescent="0.25">
      <c r="A44" s="46">
        <v>15.1</v>
      </c>
      <c r="B44" s="36" t="s">
        <v>39</v>
      </c>
      <c r="C44" s="37" t="s">
        <v>27</v>
      </c>
      <c r="D44" s="38">
        <v>85</v>
      </c>
      <c r="E44" s="18"/>
      <c r="F44" s="18"/>
      <c r="G44" s="11" t="s">
        <v>68</v>
      </c>
      <c r="H44" s="10" t="s">
        <v>23</v>
      </c>
      <c r="I44" s="10"/>
      <c r="J44" s="50">
        <f>D44/54</f>
        <v>1.5740740740740742</v>
      </c>
      <c r="K44" s="19">
        <v>6</v>
      </c>
      <c r="L44" s="19">
        <v>9</v>
      </c>
      <c r="M44" s="18"/>
      <c r="N44" s="19"/>
      <c r="O44" s="19"/>
      <c r="P44" s="19"/>
      <c r="Q44" s="18"/>
      <c r="R44" s="19"/>
      <c r="S44" s="18"/>
      <c r="T44" s="18"/>
    </row>
    <row r="45" spans="1:20" ht="15.75" x14ac:dyDescent="0.25">
      <c r="A45" s="47">
        <v>15.11</v>
      </c>
      <c r="B45" s="39" t="s">
        <v>50</v>
      </c>
      <c r="C45" s="40" t="s">
        <v>27</v>
      </c>
      <c r="D45" s="35">
        <v>35</v>
      </c>
      <c r="E45" s="9"/>
      <c r="F45" s="9"/>
      <c r="G45" s="11" t="s">
        <v>68</v>
      </c>
      <c r="H45" s="11"/>
      <c r="I45" s="11"/>
      <c r="J45" s="50">
        <f>D45</f>
        <v>35</v>
      </c>
      <c r="K45" s="12">
        <v>0.25</v>
      </c>
      <c r="L45" s="12">
        <v>9</v>
      </c>
      <c r="M45" s="9"/>
      <c r="N45" s="12"/>
      <c r="O45" s="12"/>
      <c r="P45" s="12"/>
      <c r="Q45" s="12"/>
      <c r="R45" s="9"/>
      <c r="S45" s="9"/>
      <c r="T45" s="9"/>
    </row>
    <row r="46" spans="1:20" ht="15.75" x14ac:dyDescent="0.25">
      <c r="A46" s="49">
        <v>16</v>
      </c>
      <c r="B46" s="6" t="s">
        <v>49</v>
      </c>
      <c r="C46" s="7" t="s">
        <v>29</v>
      </c>
      <c r="D46" s="5">
        <v>1</v>
      </c>
      <c r="E46" s="9">
        <v>2000</v>
      </c>
      <c r="F46" s="9">
        <v>2000</v>
      </c>
      <c r="G46" s="11" t="s">
        <v>68</v>
      </c>
      <c r="H46" s="11"/>
      <c r="I46" s="11"/>
      <c r="J46" s="50">
        <f>D46</f>
        <v>1</v>
      </c>
      <c r="K46" s="12">
        <v>1</v>
      </c>
      <c r="L46" s="12">
        <v>16</v>
      </c>
      <c r="M46" s="9">
        <v>1440</v>
      </c>
      <c r="N46" s="12"/>
      <c r="O46" s="12"/>
      <c r="P46" s="12"/>
      <c r="Q46" s="12"/>
      <c r="R46" s="9">
        <v>1700</v>
      </c>
      <c r="S46" s="9">
        <v>3140</v>
      </c>
      <c r="T46" s="9">
        <v>-1140</v>
      </c>
    </row>
    <row r="47" spans="1:20" ht="15.75" x14ac:dyDescent="0.25">
      <c r="A47" s="5">
        <v>17</v>
      </c>
      <c r="B47" s="15" t="s">
        <v>39</v>
      </c>
      <c r="C47" s="16" t="s">
        <v>27</v>
      </c>
      <c r="D47" s="14">
        <v>85</v>
      </c>
      <c r="E47" s="18">
        <v>100</v>
      </c>
      <c r="F47" s="18">
        <v>8500</v>
      </c>
      <c r="G47" s="11" t="s">
        <v>68</v>
      </c>
      <c r="H47" s="10" t="s">
        <v>23</v>
      </c>
      <c r="I47" s="10"/>
      <c r="J47" s="50">
        <f>D47/54</f>
        <v>1.5740740740740742</v>
      </c>
      <c r="K47" s="19">
        <v>6</v>
      </c>
      <c r="L47" s="19">
        <v>9</v>
      </c>
      <c r="M47" s="18">
        <v>755.56</v>
      </c>
      <c r="N47" s="19"/>
      <c r="O47" s="19"/>
      <c r="P47" s="19"/>
      <c r="Q47" s="18">
        <v>354.17</v>
      </c>
      <c r="R47" s="19"/>
      <c r="S47" s="18">
        <v>1109.72</v>
      </c>
      <c r="T47" s="18">
        <v>7390.28</v>
      </c>
    </row>
    <row r="48" spans="1:20" ht="15.75" x14ac:dyDescent="0.25">
      <c r="A48" s="5">
        <v>18</v>
      </c>
      <c r="B48" s="6" t="s">
        <v>50</v>
      </c>
      <c r="C48" s="7" t="s">
        <v>27</v>
      </c>
      <c r="D48" s="5">
        <v>35</v>
      </c>
      <c r="E48" s="9">
        <v>20</v>
      </c>
      <c r="F48" s="9">
        <v>700</v>
      </c>
      <c r="G48" s="11" t="s">
        <v>68</v>
      </c>
      <c r="H48" s="11"/>
      <c r="I48" s="11"/>
      <c r="J48" s="50">
        <f t="shared" ref="J48:J55" si="0">D48</f>
        <v>35</v>
      </c>
      <c r="K48" s="12">
        <v>0.25</v>
      </c>
      <c r="L48" s="12">
        <v>9</v>
      </c>
      <c r="M48" s="9">
        <v>700</v>
      </c>
      <c r="N48" s="12"/>
      <c r="O48" s="12"/>
      <c r="P48" s="12"/>
      <c r="Q48" s="12"/>
      <c r="R48" s="9">
        <v>595</v>
      </c>
      <c r="S48" s="9">
        <v>1295</v>
      </c>
      <c r="T48" s="9">
        <v>-595</v>
      </c>
    </row>
    <row r="49" spans="1:20" ht="15.75" x14ac:dyDescent="0.25">
      <c r="A49" s="5">
        <v>30</v>
      </c>
      <c r="B49" s="6" t="s">
        <v>51</v>
      </c>
      <c r="C49" s="7" t="s">
        <v>29</v>
      </c>
      <c r="D49" s="5">
        <v>2</v>
      </c>
      <c r="E49" s="9">
        <v>1000</v>
      </c>
      <c r="F49" s="9">
        <v>2000</v>
      </c>
      <c r="G49" s="11" t="s">
        <v>72</v>
      </c>
      <c r="H49" s="11"/>
      <c r="I49" s="11"/>
      <c r="J49" s="50">
        <f t="shared" si="0"/>
        <v>2</v>
      </c>
      <c r="K49" s="12">
        <v>4</v>
      </c>
      <c r="L49" s="12">
        <v>8</v>
      </c>
      <c r="M49" s="9">
        <v>640</v>
      </c>
      <c r="N49" s="12"/>
      <c r="O49" s="12"/>
      <c r="P49" s="12"/>
      <c r="Q49" s="9">
        <v>600</v>
      </c>
      <c r="R49" s="12"/>
      <c r="S49" s="9">
        <v>1240</v>
      </c>
      <c r="T49" s="9">
        <v>760</v>
      </c>
    </row>
    <row r="50" spans="1:20" ht="15.75" x14ac:dyDescent="0.25">
      <c r="A50" s="5">
        <v>31</v>
      </c>
      <c r="B50" s="6" t="s">
        <v>52</v>
      </c>
      <c r="C50" s="13" t="s">
        <v>25</v>
      </c>
      <c r="D50" s="5">
        <v>163</v>
      </c>
      <c r="E50" s="9">
        <v>5</v>
      </c>
      <c r="F50" s="9">
        <v>815</v>
      </c>
      <c r="G50" s="11" t="s">
        <v>72</v>
      </c>
      <c r="H50" s="11" t="s">
        <v>25</v>
      </c>
      <c r="I50" s="11"/>
      <c r="J50" s="50">
        <f t="shared" si="0"/>
        <v>163</v>
      </c>
      <c r="K50" s="12">
        <v>8</v>
      </c>
      <c r="L50" s="12">
        <v>16</v>
      </c>
      <c r="M50" s="9">
        <v>1280</v>
      </c>
      <c r="N50" s="12"/>
      <c r="O50" s="12"/>
      <c r="P50" s="12"/>
      <c r="Q50" s="12"/>
      <c r="R50" s="12"/>
      <c r="S50" s="9">
        <v>1280</v>
      </c>
      <c r="T50" s="9">
        <v>-465</v>
      </c>
    </row>
    <row r="51" spans="1:20" ht="15.75" x14ac:dyDescent="0.25">
      <c r="A51" s="5">
        <v>35</v>
      </c>
      <c r="B51" s="6" t="s">
        <v>53</v>
      </c>
      <c r="C51" s="7" t="s">
        <v>29</v>
      </c>
      <c r="D51" s="5">
        <v>2</v>
      </c>
      <c r="E51" s="9">
        <v>2500</v>
      </c>
      <c r="F51" s="9">
        <v>5000</v>
      </c>
      <c r="G51" s="11" t="s">
        <v>72</v>
      </c>
      <c r="H51" s="11"/>
      <c r="I51" s="11"/>
      <c r="J51" s="50">
        <f t="shared" si="0"/>
        <v>2</v>
      </c>
      <c r="K51" s="12">
        <v>4</v>
      </c>
      <c r="L51" s="12">
        <v>8</v>
      </c>
      <c r="M51" s="9">
        <v>600</v>
      </c>
      <c r="N51" s="12"/>
      <c r="O51" s="12"/>
      <c r="P51" s="12"/>
      <c r="Q51" s="12"/>
      <c r="R51" s="12"/>
      <c r="S51" s="9">
        <v>600</v>
      </c>
      <c r="T51" s="9">
        <v>4400</v>
      </c>
    </row>
    <row r="52" spans="1:20" ht="15.75" x14ac:dyDescent="0.25">
      <c r="A52" s="5">
        <v>36</v>
      </c>
      <c r="B52" s="6" t="s">
        <v>54</v>
      </c>
      <c r="C52" s="7" t="s">
        <v>29</v>
      </c>
      <c r="D52" s="5">
        <v>2</v>
      </c>
      <c r="E52" s="9">
        <v>2500</v>
      </c>
      <c r="F52" s="9">
        <v>5000</v>
      </c>
      <c r="G52" s="11" t="s">
        <v>72</v>
      </c>
      <c r="H52" s="11"/>
      <c r="I52" s="11"/>
      <c r="J52" s="50">
        <f t="shared" si="0"/>
        <v>2</v>
      </c>
      <c r="K52" s="12">
        <v>16</v>
      </c>
      <c r="L52" s="12">
        <v>32</v>
      </c>
      <c r="M52" s="9">
        <v>1280</v>
      </c>
      <c r="N52" s="12"/>
      <c r="O52" s="12"/>
      <c r="P52" s="12"/>
      <c r="Q52" s="12"/>
      <c r="R52" s="12"/>
      <c r="S52" s="9">
        <v>1280</v>
      </c>
      <c r="T52" s="9">
        <v>3720</v>
      </c>
    </row>
    <row r="53" spans="1:20" ht="15.75" x14ac:dyDescent="0.25">
      <c r="A53" s="5">
        <v>38</v>
      </c>
      <c r="B53" s="6" t="s">
        <v>55</v>
      </c>
      <c r="C53" s="7" t="s">
        <v>29</v>
      </c>
      <c r="D53" s="5">
        <v>1</v>
      </c>
      <c r="E53" s="9">
        <v>1500</v>
      </c>
      <c r="F53" s="9">
        <v>1500</v>
      </c>
      <c r="G53" s="11" t="s">
        <v>72</v>
      </c>
      <c r="H53" s="11"/>
      <c r="I53" s="11"/>
      <c r="J53" s="50">
        <f t="shared" si="0"/>
        <v>1</v>
      </c>
      <c r="K53" s="12">
        <v>4</v>
      </c>
      <c r="L53" s="12">
        <v>4</v>
      </c>
      <c r="M53" s="9">
        <v>300</v>
      </c>
      <c r="N53" s="12"/>
      <c r="O53" s="12"/>
      <c r="P53" s="12"/>
      <c r="Q53" s="12"/>
      <c r="R53" s="12"/>
      <c r="S53" s="9">
        <v>300</v>
      </c>
      <c r="T53" s="9">
        <v>1200</v>
      </c>
    </row>
    <row r="54" spans="1:20" ht="15.75" x14ac:dyDescent="0.25">
      <c r="A54" s="5">
        <v>39</v>
      </c>
      <c r="B54" s="6" t="s">
        <v>56</v>
      </c>
      <c r="C54" s="7" t="s">
        <v>29</v>
      </c>
      <c r="D54" s="5">
        <v>3</v>
      </c>
      <c r="E54" s="9">
        <v>1500</v>
      </c>
      <c r="F54" s="9">
        <v>4500</v>
      </c>
      <c r="G54" s="11" t="s">
        <v>72</v>
      </c>
      <c r="H54" s="11"/>
      <c r="I54" s="11"/>
      <c r="J54" s="50">
        <f t="shared" si="0"/>
        <v>3</v>
      </c>
      <c r="K54" s="12">
        <v>4</v>
      </c>
      <c r="L54" s="12">
        <v>12</v>
      </c>
      <c r="M54" s="9">
        <v>900</v>
      </c>
      <c r="N54" s="12"/>
      <c r="O54" s="12"/>
      <c r="P54" s="12"/>
      <c r="Q54" s="12"/>
      <c r="R54" s="12"/>
      <c r="S54" s="9">
        <v>900</v>
      </c>
      <c r="T54" s="9">
        <v>3600</v>
      </c>
    </row>
    <row r="55" spans="1:20" ht="15.75" x14ac:dyDescent="0.25">
      <c r="A55" s="5">
        <v>40</v>
      </c>
      <c r="B55" s="6" t="s">
        <v>57</v>
      </c>
      <c r="C55" s="7" t="s">
        <v>29</v>
      </c>
      <c r="D55" s="5">
        <v>2</v>
      </c>
      <c r="E55" s="9">
        <v>1000</v>
      </c>
      <c r="F55" s="9">
        <v>2000</v>
      </c>
      <c r="G55" s="11" t="s">
        <v>72</v>
      </c>
      <c r="H55" s="11"/>
      <c r="I55" s="11"/>
      <c r="J55" s="50">
        <f t="shared" si="0"/>
        <v>2</v>
      </c>
      <c r="K55" s="12">
        <v>4</v>
      </c>
      <c r="L55" s="12">
        <v>8</v>
      </c>
      <c r="M55" s="9">
        <v>600</v>
      </c>
      <c r="N55" s="12"/>
      <c r="O55" s="12"/>
      <c r="P55" s="12"/>
      <c r="Q55" s="12"/>
      <c r="R55" s="12"/>
      <c r="S55" s="9">
        <v>600</v>
      </c>
      <c r="T55" s="9">
        <v>1400</v>
      </c>
    </row>
    <row r="56" spans="1:20" ht="15.75" x14ac:dyDescent="0.25">
      <c r="A56" s="5">
        <v>41</v>
      </c>
      <c r="B56" s="6" t="s">
        <v>73</v>
      </c>
      <c r="C56" s="7" t="s">
        <v>27</v>
      </c>
      <c r="D56" s="5"/>
      <c r="E56" s="9"/>
      <c r="F56" s="9"/>
      <c r="G56" s="11" t="s">
        <v>68</v>
      </c>
      <c r="H56" s="11"/>
      <c r="I56" s="11"/>
      <c r="J56" s="50">
        <f>D56/400</f>
        <v>0</v>
      </c>
      <c r="K56" s="12">
        <v>20</v>
      </c>
      <c r="L56" s="12"/>
      <c r="M56" s="9"/>
      <c r="N56" s="12"/>
      <c r="O56" s="12"/>
      <c r="P56" s="12"/>
      <c r="Q56" s="12"/>
      <c r="R56" s="12"/>
      <c r="S56" s="9"/>
      <c r="T56" s="9"/>
    </row>
    <row r="57" spans="1:20" ht="15.75" x14ac:dyDescent="0.25">
      <c r="A57" s="5">
        <v>1</v>
      </c>
      <c r="B57" s="6" t="s">
        <v>58</v>
      </c>
      <c r="C57" s="7" t="s">
        <v>18</v>
      </c>
      <c r="D57" s="5">
        <v>1</v>
      </c>
      <c r="E57" s="9">
        <v>15000</v>
      </c>
      <c r="F57" s="9">
        <v>15000</v>
      </c>
      <c r="G57" s="10" t="s">
        <v>30</v>
      </c>
      <c r="H57" s="11"/>
      <c r="I57" s="11"/>
      <c r="J57" s="50">
        <f t="shared" ref="J57:J62" si="1">D57</f>
        <v>1</v>
      </c>
      <c r="K57" s="12">
        <v>1</v>
      </c>
      <c r="L57" s="12">
        <v>80</v>
      </c>
      <c r="M57" s="9">
        <v>7200</v>
      </c>
      <c r="N57" s="12"/>
      <c r="O57" s="12"/>
      <c r="P57" s="12"/>
      <c r="Q57" s="9">
        <v>3000</v>
      </c>
      <c r="R57" s="12"/>
      <c r="S57" s="9">
        <v>10200</v>
      </c>
      <c r="T57" s="9">
        <v>4800</v>
      </c>
    </row>
    <row r="58" spans="1:20" ht="15.75" x14ac:dyDescent="0.25">
      <c r="A58" s="5">
        <v>28</v>
      </c>
      <c r="B58" s="6" t="s">
        <v>59</v>
      </c>
      <c r="C58" s="7" t="s">
        <v>29</v>
      </c>
      <c r="D58" s="5">
        <v>3</v>
      </c>
      <c r="E58" s="9">
        <v>2500</v>
      </c>
      <c r="F58" s="9">
        <v>7500</v>
      </c>
      <c r="G58" s="22" t="s">
        <v>31</v>
      </c>
      <c r="H58" s="11"/>
      <c r="I58" s="11"/>
      <c r="J58" s="12">
        <f t="shared" si="1"/>
        <v>3</v>
      </c>
      <c r="K58" s="12"/>
      <c r="L58" s="12"/>
      <c r="M58" s="12"/>
      <c r="N58" s="12"/>
      <c r="O58" s="12"/>
      <c r="P58" s="12"/>
      <c r="Q58" s="12"/>
      <c r="R58" s="9">
        <v>6375</v>
      </c>
      <c r="S58" s="9">
        <v>6375</v>
      </c>
      <c r="T58" s="9">
        <v>1125</v>
      </c>
    </row>
    <row r="59" spans="1:20" ht="15.75" x14ac:dyDescent="0.25">
      <c r="A59" s="5">
        <v>29</v>
      </c>
      <c r="B59" s="6" t="s">
        <v>60</v>
      </c>
      <c r="C59" s="7" t="s">
        <v>27</v>
      </c>
      <c r="D59" s="5">
        <v>63</v>
      </c>
      <c r="E59" s="9">
        <v>250</v>
      </c>
      <c r="F59" s="9">
        <v>15750</v>
      </c>
      <c r="G59" s="22" t="s">
        <v>31</v>
      </c>
      <c r="H59" s="11"/>
      <c r="I59" s="11"/>
      <c r="J59" s="12">
        <f t="shared" si="1"/>
        <v>63</v>
      </c>
      <c r="K59" s="12"/>
      <c r="L59" s="12"/>
      <c r="M59" s="12"/>
      <c r="N59" s="12"/>
      <c r="O59" s="12"/>
      <c r="P59" s="12"/>
      <c r="Q59" s="12"/>
      <c r="R59" s="9">
        <v>13387.5</v>
      </c>
      <c r="S59" s="9">
        <v>13387.5</v>
      </c>
      <c r="T59" s="9">
        <v>2362.5</v>
      </c>
    </row>
    <row r="60" spans="1:20" ht="15.75" x14ac:dyDescent="0.25">
      <c r="A60" s="5">
        <v>33</v>
      </c>
      <c r="B60" s="6" t="s">
        <v>50</v>
      </c>
      <c r="C60" s="7" t="s">
        <v>27</v>
      </c>
      <c r="D60" s="5">
        <v>25</v>
      </c>
      <c r="E60" s="9">
        <v>300</v>
      </c>
      <c r="F60" s="9">
        <v>7500</v>
      </c>
      <c r="G60" s="22" t="s">
        <v>31</v>
      </c>
      <c r="H60" s="11"/>
      <c r="I60" s="11"/>
      <c r="J60" s="12">
        <f t="shared" si="1"/>
        <v>25</v>
      </c>
      <c r="K60" s="12"/>
      <c r="L60" s="12"/>
      <c r="M60" s="12"/>
      <c r="N60" s="12"/>
      <c r="O60" s="12"/>
      <c r="P60" s="12"/>
      <c r="Q60" s="12"/>
      <c r="R60" s="9">
        <v>6375</v>
      </c>
      <c r="S60" s="9">
        <v>6375</v>
      </c>
      <c r="T60" s="9">
        <v>1125</v>
      </c>
    </row>
    <row r="61" spans="1:20" ht="15.75" x14ac:dyDescent="0.25">
      <c r="A61" s="5">
        <v>34</v>
      </c>
      <c r="B61" s="6" t="s">
        <v>61</v>
      </c>
      <c r="C61" s="7" t="s">
        <v>18</v>
      </c>
      <c r="D61" s="5">
        <v>1</v>
      </c>
      <c r="E61" s="9">
        <v>18000</v>
      </c>
      <c r="F61" s="9">
        <v>18000</v>
      </c>
      <c r="G61" s="22" t="s">
        <v>31</v>
      </c>
      <c r="H61" s="11"/>
      <c r="I61" s="11"/>
      <c r="J61" s="12">
        <f t="shared" si="1"/>
        <v>1</v>
      </c>
      <c r="K61" s="12"/>
      <c r="L61" s="12"/>
      <c r="M61" s="12"/>
      <c r="N61" s="12"/>
      <c r="O61" s="12"/>
      <c r="P61" s="12"/>
      <c r="Q61" s="12"/>
      <c r="R61" s="9">
        <v>15300</v>
      </c>
      <c r="S61" s="9">
        <v>15300</v>
      </c>
      <c r="T61" s="9">
        <v>2700</v>
      </c>
    </row>
    <row r="62" spans="1:20" ht="15.75" x14ac:dyDescent="0.25">
      <c r="A62" s="5">
        <v>37</v>
      </c>
      <c r="B62" s="6" t="s">
        <v>62</v>
      </c>
      <c r="C62" s="7" t="s">
        <v>18</v>
      </c>
      <c r="D62" s="5">
        <v>1</v>
      </c>
      <c r="E62" s="9">
        <v>30000</v>
      </c>
      <c r="F62" s="9">
        <v>30000</v>
      </c>
      <c r="G62" s="22" t="s">
        <v>31</v>
      </c>
      <c r="H62" s="11"/>
      <c r="I62" s="11"/>
      <c r="J62" s="12">
        <f t="shared" si="1"/>
        <v>1</v>
      </c>
      <c r="K62" s="12"/>
      <c r="L62" s="12"/>
      <c r="M62" s="12"/>
      <c r="N62" s="12"/>
      <c r="O62" s="12"/>
      <c r="P62" s="12"/>
      <c r="Q62" s="12"/>
      <c r="R62" s="9">
        <v>25500</v>
      </c>
      <c r="S62" s="9">
        <v>25500</v>
      </c>
      <c r="T62" s="9">
        <v>4500</v>
      </c>
    </row>
    <row r="63" spans="1:20" ht="31.5" x14ac:dyDescent="0.25">
      <c r="A63" s="24">
        <v>5</v>
      </c>
      <c r="B63" s="23" t="s">
        <v>67</v>
      </c>
      <c r="C63" s="30" t="s">
        <v>18</v>
      </c>
      <c r="D63" s="24">
        <v>1</v>
      </c>
      <c r="E63" s="31">
        <v>70000</v>
      </c>
      <c r="F63" s="31">
        <v>70000</v>
      </c>
      <c r="G63" s="32" t="s">
        <v>63</v>
      </c>
      <c r="H63" s="33"/>
      <c r="I63" s="33"/>
      <c r="J63" s="12">
        <f>D63*4</f>
        <v>4</v>
      </c>
      <c r="K63" s="34"/>
      <c r="L63" s="34">
        <v>192</v>
      </c>
      <c r="M63" s="31">
        <v>15360</v>
      </c>
      <c r="N63" s="34"/>
      <c r="O63" s="34"/>
      <c r="P63" s="34"/>
      <c r="Q63" s="31">
        <v>15000</v>
      </c>
      <c r="R63" s="34"/>
      <c r="S63" s="31">
        <v>30360</v>
      </c>
      <c r="T63" s="31">
        <v>39640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Song</dc:creator>
  <cp:lastModifiedBy>Joseph Song</cp:lastModifiedBy>
  <dcterms:created xsi:type="dcterms:W3CDTF">2025-03-13T19:14:35Z</dcterms:created>
  <dcterms:modified xsi:type="dcterms:W3CDTF">2025-05-27T16:34:16Z</dcterms:modified>
</cp:coreProperties>
</file>